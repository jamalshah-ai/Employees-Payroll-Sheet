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al Shah\Desktop\"/>
    </mc:Choice>
  </mc:AlternateContent>
  <xr:revisionPtr revIDLastSave="0" documentId="13_ncr:1_{8913BDEA-769D-47CF-8D5D-6A30B0F0D8A4}" xr6:coauthVersionLast="47" xr6:coauthVersionMax="47" xr10:uidLastSave="{00000000-0000-0000-0000-000000000000}"/>
  <bookViews>
    <workbookView xWindow="-110" yWindow="-110" windowWidth="19420" windowHeight="10300" xr2:uid="{69796291-83B0-47E6-8B82-7B5D2CC984E9}"/>
  </bookViews>
  <sheets>
    <sheet name="Employees Payroll Sheet" sheetId="1" r:id="rId1"/>
    <sheet name="Payroll Summary" sheetId="2" r:id="rId2"/>
    <sheet name="Char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H13" i="2"/>
  <c r="H12" i="2"/>
  <c r="H11" i="2"/>
  <c r="H10" i="2"/>
  <c r="H9" i="2"/>
  <c r="H8" i="2"/>
  <c r="H7" i="2"/>
  <c r="H6" i="2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</calcChain>
</file>

<file path=xl/sharedStrings.xml><?xml version="1.0" encoding="utf-8"?>
<sst xmlns="http://schemas.openxmlformats.org/spreadsheetml/2006/main" count="174" uniqueCount="96">
  <si>
    <t>Employee ID</t>
  </si>
  <si>
    <t>Employee Name</t>
  </si>
  <si>
    <t>Department</t>
  </si>
  <si>
    <t>Basic Salary</t>
  </si>
  <si>
    <t>Allowance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</si>
  <si>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</si>
  <si>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</si>
  <si>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</si>
  <si>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</si>
  <si>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</si>
  <si>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</si>
  <si>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</si>
  <si>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</si>
  <si>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</si>
  <si>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</si>
  <si>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</si>
  <si>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</si>
  <si>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</si>
  <si>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</si>
  <si>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</si>
  <si>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</si>
  <si>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</si>
  <si>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</si>
  <si>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</si>
  <si>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</si>
  <si>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</si>
  <si>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</si>
  <si>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</si>
  <si>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</si>
  <si>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</si>
  <si>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</si>
  <si>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</si>
  <si>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</si>
  <si>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</si>
  <si>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</si>
  <si>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Ali Khan</t>
  </si>
  <si>
    <t>Ahmed Shah</t>
  </si>
  <si>
    <t>Ayesha Khan</t>
  </si>
  <si>
    <t>Bilal Ahmad</t>
  </si>
  <si>
    <t>Fatima Ali</t>
  </si>
  <si>
    <t>Usman Khan</t>
  </si>
  <si>
    <t>Sanaullah</t>
  </si>
  <si>
    <t>Hira Shah</t>
  </si>
  <si>
    <t>Hamza Khan</t>
  </si>
  <si>
    <t>Maryam Ali</t>
  </si>
  <si>
    <t>Imran Ahmad</t>
  </si>
  <si>
    <t>Zainab Khan</t>
  </si>
  <si>
    <t>Saad Ullah</t>
  </si>
  <si>
    <t>Iqra Shah</t>
  </si>
  <si>
    <t>Farhan Ali</t>
  </si>
  <si>
    <t>Noor Ahmad</t>
  </si>
  <si>
    <t>Asad Khan</t>
  </si>
  <si>
    <t>Mahnoor Ali</t>
  </si>
  <si>
    <t>Waqas Shah</t>
  </si>
  <si>
    <t>Komal Khan</t>
  </si>
  <si>
    <t>Junaid Ahmad</t>
  </si>
  <si>
    <t>Rabia Ali</t>
  </si>
  <si>
    <t>Salaman Khan</t>
  </si>
  <si>
    <t>Laiba Shah</t>
  </si>
  <si>
    <t>Haris Ahmad</t>
  </si>
  <si>
    <t>Amna Khan</t>
  </si>
  <si>
    <t>Taimoor Ali</t>
  </si>
  <si>
    <t>Sidra Shah</t>
  </si>
  <si>
    <t>Kashif Khan</t>
  </si>
  <si>
    <t>Eman Ali</t>
  </si>
  <si>
    <t>Administration</t>
  </si>
  <si>
    <t>Finance</t>
  </si>
  <si>
    <t>HR</t>
  </si>
  <si>
    <t>IT</t>
  </si>
  <si>
    <t>Marketing</t>
  </si>
  <si>
    <t>Operations</t>
  </si>
  <si>
    <t>Overtime Pay</t>
  </si>
  <si>
    <t>Gross Salary</t>
  </si>
  <si>
    <t>Deduction</t>
  </si>
  <si>
    <t>Net Salary</t>
  </si>
  <si>
    <t>Payroll Month</t>
  </si>
  <si>
    <t>Payment Status</t>
  </si>
  <si>
    <t>Pending</t>
  </si>
  <si>
    <t>Paid</t>
  </si>
  <si>
    <t>On Hold</t>
  </si>
  <si>
    <t>Employee Type</t>
  </si>
  <si>
    <t>Part-Time</t>
  </si>
  <si>
    <t>Full-Time</t>
  </si>
  <si>
    <t>Contract</t>
  </si>
  <si>
    <t>Payment Date</t>
  </si>
  <si>
    <t>EMPLOYEES PAYROLL SHEET</t>
  </si>
  <si>
    <t>PAYROLL SUMMARY</t>
  </si>
  <si>
    <t>Total Employees</t>
  </si>
  <si>
    <t>Total Basic Salary</t>
  </si>
  <si>
    <t>Total Allowance</t>
  </si>
  <si>
    <t>Total Overtime Pay</t>
  </si>
  <si>
    <t>Total Gross Salary</t>
  </si>
  <si>
    <t>Total Deduction</t>
  </si>
  <si>
    <t>Total Net Salary</t>
  </si>
  <si>
    <t>Highest Net Salary</t>
  </si>
  <si>
    <t>Lowest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</si>
</sst>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7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'Employees Payroll Sheet'!$I$2</c:f>
              <c:strCache>
                <c:ptCount val="1"/>
                <c:pt idx="0">
                  <c:v> Net Salary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'Employees Payroll Sheet'!$B$3:$B$32</c:f>
              <c:strCache>
                <c:ptCount val="30"/>
                <c:pt idx="0">
                  <c:v>Ali Khan</c:v>
                </c:pt>
                <c:pt idx="1">
                  <c:v>Ahmed Shah</c:v>
                </c:pt>
                <c:pt idx="2">
                  <c:v>Ayesha Khan</c:v>
                </c:pt>
                <c:pt idx="3">
                  <c:v>Bilal Ahmad</c:v>
                </c:pt>
                <c:pt idx="4">
                  <c:v>Fatima Ali</c:v>
                </c:pt>
                <c:pt idx="5">
                  <c:v>Usman Khan</c:v>
                </c:pt>
                <c:pt idx="6">
                  <c:v>Sanaullah</c:v>
                </c:pt>
                <c:pt idx="7">
                  <c:v>Hira Shah</c:v>
                </c:pt>
                <c:pt idx="8">
                  <c:v>Hamza Khan</c:v>
                </c:pt>
                <c:pt idx="9">
                  <c:v>Maryam Ali</c:v>
                </c:pt>
                <c:pt idx="10">
                  <c:v>Imran Ahmad</c:v>
                </c:pt>
                <c:pt idx="11">
                  <c:v>Zainab Khan</c:v>
                </c:pt>
                <c:pt idx="12">
                  <c:v>Saad Ullah</c:v>
                </c:pt>
                <c:pt idx="13">
                  <c:v>Iqra Shah</c:v>
                </c:pt>
                <c:pt idx="14">
                  <c:v>Farhan Ali</c:v>
                </c:pt>
                <c:pt idx="15">
                  <c:v>Noor Ahmad</c:v>
                </c:pt>
                <c:pt idx="16">
                  <c:v>Asad Khan</c:v>
                </c:pt>
                <c:pt idx="17">
                  <c:v>Mahnoor Ali</c:v>
                </c:pt>
                <c:pt idx="18">
                  <c:v>Waqas Shah</c:v>
                </c:pt>
                <c:pt idx="19">
                  <c:v>Komal Khan</c:v>
                </c:pt>
                <c:pt idx="20">
                  <c:v>Junaid Ahmad</c:v>
                </c:pt>
                <c:pt idx="21">
                  <c:v>Rabia Ali</c:v>
                </c:pt>
                <c:pt idx="22">
                  <c:v>Salaman Khan</c:v>
                </c:pt>
                <c:pt idx="23">
                  <c:v>Laiba Shah</c:v>
                </c:pt>
                <c:pt idx="24">
                  <c:v>Haris Ahmad</c:v>
                </c:pt>
                <c:pt idx="25">
                  <c:v>Amna Khan</c:v>
                </c:pt>
                <c:pt idx="26">
                  <c:v>Taimoor Ali</c:v>
                </c:pt>
                <c:pt idx="27">
                  <c:v>Sidra Shah</c:v>
                </c:pt>
                <c:pt idx="28">
                  <c:v>Kashif Khan</c:v>
                </c:pt>
                <c:pt idx="29">
                  <c:v>Eman Ali</c:v>
                </c:pt>
              </c:strCache>
            </c:strRef>
          </c:cat>
          <c:val>
            <c:numRef>
              <c:f>'Employees Payroll Sheet'!$I$3:$I$32</c:f>
              <c:numCache>
                <c:formatCode>_-* #,##0_-;\-* #,##0_-;_-* "-"??_-;_-@_-</c:formatCode>
                <c:ptCount val="30"/>
                <c:pt idx="0">
                  <c:v>50500</c:v>
                </c:pt>
                <c:pt idx="1">
                  <c:v>63000</c:v>
                </c:pt>
                <c:pt idx="2">
                  <c:v>56500</c:v>
                </c:pt>
                <c:pt idx="3">
                  <c:v>69500</c:v>
                </c:pt>
                <c:pt idx="4">
                  <c:v>54300</c:v>
                </c:pt>
                <c:pt idx="5">
                  <c:v>59000</c:v>
                </c:pt>
                <c:pt idx="6">
                  <c:v>50700</c:v>
                </c:pt>
                <c:pt idx="7">
                  <c:v>56400</c:v>
                </c:pt>
                <c:pt idx="8">
                  <c:v>66300</c:v>
                </c:pt>
                <c:pt idx="9">
                  <c:v>72100</c:v>
                </c:pt>
                <c:pt idx="10">
                  <c:v>56500</c:v>
                </c:pt>
                <c:pt idx="11">
                  <c:v>51200</c:v>
                </c:pt>
                <c:pt idx="12">
                  <c:v>77000</c:v>
                </c:pt>
                <c:pt idx="13">
                  <c:v>54500</c:v>
                </c:pt>
                <c:pt idx="14">
                  <c:v>65500</c:v>
                </c:pt>
                <c:pt idx="15">
                  <c:v>48100</c:v>
                </c:pt>
                <c:pt idx="16">
                  <c:v>60700</c:v>
                </c:pt>
                <c:pt idx="17">
                  <c:v>56200</c:v>
                </c:pt>
                <c:pt idx="18">
                  <c:v>70300</c:v>
                </c:pt>
                <c:pt idx="19">
                  <c:v>57800</c:v>
                </c:pt>
                <c:pt idx="20">
                  <c:v>67400</c:v>
                </c:pt>
                <c:pt idx="21">
                  <c:v>50600</c:v>
                </c:pt>
                <c:pt idx="22">
                  <c:v>61300</c:v>
                </c:pt>
                <c:pt idx="23">
                  <c:v>53200</c:v>
                </c:pt>
                <c:pt idx="24">
                  <c:v>74000</c:v>
                </c:pt>
                <c:pt idx="25">
                  <c:v>57200</c:v>
                </c:pt>
                <c:pt idx="26">
                  <c:v>62800</c:v>
                </c:pt>
                <c:pt idx="27">
                  <c:v>48700</c:v>
                </c:pt>
                <c:pt idx="28">
                  <c:v>58300</c:v>
                </c:pt>
                <c:pt idx="29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2-423D-91AB-74F5C10A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942447"/>
        <c:axId val="654361023"/>
      </c:barChart>
      <c:catAx>
        <c:axId val="7189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54361023"/>
        <c:crosses val="autoZero"/>
        <c:auto val="1"/>
        <c:lblAlgn val="ctr"/>
        <c:lblOffset val="100"/>
        <c:noMultiLvlLbl val="0"/>
      </c:catAx>
      <c:valAx>
        <c:axId val="65436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1894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1</xdr:row>
      <xdr:rowOff>6350</xdr:rowOff>
    </xdr:from>
    <xdr:to>
      <xdr:col>14</xdr:col>
      <xdr:colOff>304800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EAA9D-4A61-4205-AB41-4E702638C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D92F3-75B6-4208-A2A4-8D3AB889CD8A}" name="Table1" displayName="Table1" ref="A2:M32" totalsRowShown="0" headerRowDxfId="13">
  <autoFilter ref="A2:M32" xr:uid="{D0FD92F3-75B6-4208-A2A4-8D3AB889CD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CCB8776-7189-4FF0-97E9-7AE91F75A830}" name="Employee ID" dataDxfId="12"/>
    <tableColumn id="2" xr3:uid="{83786579-E501-41F5-A5EE-B6D7E67C0531}" name="Employee Name" dataDxfId="11"/>
    <tableColumn id="3" xr3:uid="{F3D65990-2708-40DE-A062-2BE7BDB4B3D4}" name="Department" dataDxfId="10"/>
    <tableColumn id="4" xr3:uid="{244E2231-8E9D-4ACA-B631-D16C077A4280}" name="Basic Salary" dataDxfId="9" dataCellStyle="Comma"/>
    <tableColumn id="5" xr3:uid="{CFF101B3-DC95-432B-9CAB-B7B93F1036EC}" name="Allowance" dataDxfId="8" dataCellStyle="Comma"/>
    <tableColumn id="6" xr3:uid="{DA8C7734-8A04-4557-8ADE-B1D60BBFBCB1}" name="Overtime Pay" dataDxfId="7" dataCellStyle="Comma"/>
    <tableColumn id="7" xr3:uid="{BBAE6253-F5D2-419B-B516-C808C9702E65}" name="Gross Salary" dataDxfId="6" dataCellStyle="Comma">
      <calculatedColumnFormula>Table1[[#This Row],[Basic Salary]]+Table1[[#This Row],[Allowance]]+Table1[[#This Row],[Overtime Pay]]</calculatedColumnFormula>
    </tableColumn>
    <tableColumn id="8" xr3:uid="{5FACA1BA-4B74-4624-86E1-6746A17BD41A}" name="Deduction" dataDxfId="5" dataCellStyle="Comma"/>
    <tableColumn id="9" xr3:uid="{E63B1E23-CBFE-4EE0-9C84-63D157B18A30}" name="Net Salary" dataDxfId="4" dataCellStyle="Comma">
      <calculatedColumnFormula>Table1[[#This Row],[Gross Salary]]-Table1[[#This Row],[Deduction]]</calculatedColumnFormula>
    </tableColumn>
    <tableColumn id="10" xr3:uid="{D3BE34F9-3CF7-42ED-BEC2-3CAD33BE3475}" name="Payroll Month" dataDxfId="3"/>
    <tableColumn id="11" xr3:uid="{E8025D26-A22D-43D9-8718-D9EBC8432363}" name="Payment Status" dataDxfId="2"/>
    <tableColumn id="12" xr3:uid="{46148037-F70D-472E-A600-581DEEF48D38}" name="Employee Type" dataDxfId="1"/>
    <tableColumn id="13" xr3:uid="{A7A22A65-1DFD-41D4-B538-167CE2E741CE}" name="Payment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1EC2-EC50-488F-BAAA-F1AD10603F08}">
  <dimension ref="A1:M32"/>
  <sheetViews>
    <sheetView showGridLines="0" tabSelected="1" zoomScaleNormal="100" workbookViewId="0">
      <selection sqref="A1:M1"/>
    </sheetView>
  </sheetViews>
  <sheetFormatPr defaultRowHeight="14.5" x14ac:dyDescent="0.35"/>
  <cols>
    <col min="1" max="1" width="13.26953125" customWidth="1"/>
    <col min="2" max="2" width="16.36328125" customWidth="1"/>
    <col min="3" max="3" width="13.26953125" bestFit="1" customWidth="1"/>
    <col min="4" max="4" width="12.453125" style="1" customWidth="1"/>
    <col min="5" max="5" width="11.36328125" style="1" customWidth="1"/>
    <col min="6" max="6" width="14.08984375" style="1" customWidth="1"/>
    <col min="7" max="7" width="13" style="1" customWidth="1"/>
    <col min="8" max="8" width="11.453125" style="1" customWidth="1"/>
    <col min="9" max="9" width="11.26953125" style="1" customWidth="1"/>
    <col min="10" max="10" width="12.7265625" bestFit="1" customWidth="1"/>
    <col min="11" max="11" width="14.08984375" bestFit="1" customWidth="1"/>
    <col min="12" max="12" width="13.54296875" bestFit="1" customWidth="1"/>
    <col min="13" max="13" width="13.1796875" bestFit="1" customWidth="1"/>
  </cols>
  <sheetData>
    <row r="1" spans="1:13" ht="21" x14ac:dyDescent="0.35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5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71</v>
      </c>
      <c r="G2" s="3" t="s">
        <v>72</v>
      </c>
      <c r="H2" s="3" t="s">
        <v>73</v>
      </c>
      <c r="I2" s="3" t="s">
        <v>74</v>
      </c>
      <c r="J2" s="2" t="s">
        <v>75</v>
      </c>
      <c r="K2" s="2" t="s">
        <v>76</v>
      </c>
      <c r="L2" s="2" t="s">
        <v>80</v>
      </c>
      <c r="M2" s="2" t="s">
        <v>84</v>
      </c>
    </row>
    <row r="3" spans="1:13" x14ac:dyDescent="0.35">
      <c r="A3" s="4" t="s">
        <v>5</v>
      </c>
      <c r="B3" s="4" t="s">
        <v>35</v>
      </c>
      <c r="C3" s="4" t="s">
        <v>65</v>
      </c>
      <c r="D3" s="5">
        <v>45000</v>
      </c>
      <c r="E3" s="5">
        <v>5000</v>
      </c>
      <c r="F3" s="5">
        <v>2000</v>
      </c>
      <c r="G3" s="5">
        <f>Table1[[#This Row],[Basic Salary]]+Table1[[#This Row],[Allowance]]+Table1[[#This Row],[Overtime Pay]]</f>
        <v>52000</v>
      </c>
      <c r="H3" s="5">
        <v>1500</v>
      </c>
      <c r="I3" s="5">
        <f>Table1[[#This Row],[Gross Salary]]-Table1[[#This Row],[Deduction]]</f>
        <v>50500</v>
      </c>
      <c r="J3" s="6">
        <v>46235</v>
      </c>
      <c r="K3" s="4" t="s">
        <v>77</v>
      </c>
      <c r="L3" s="4" t="s">
        <v>81</v>
      </c>
      <c r="M3" s="7">
        <v>46235</v>
      </c>
    </row>
    <row r="4" spans="1:13" x14ac:dyDescent="0.35">
      <c r="A4" s="4" t="s">
        <v>6</v>
      </c>
      <c r="B4" s="4" t="s">
        <v>36</v>
      </c>
      <c r="C4" s="4" t="s">
        <v>66</v>
      </c>
      <c r="D4" s="5">
        <v>55000</v>
      </c>
      <c r="E4" s="5">
        <v>7000</v>
      </c>
      <c r="F4" s="5">
        <v>3000</v>
      </c>
      <c r="G4" s="5">
        <f>Table1[[#This Row],[Basic Salary]]+Table1[[#This Row],[Allowance]]+Table1[[#This Row],[Overtime Pay]]</f>
        <v>65000</v>
      </c>
      <c r="H4" s="5">
        <v>2000</v>
      </c>
      <c r="I4" s="5">
        <f>Table1[[#This Row],[Gross Salary]]-Table1[[#This Row],[Deduction]]</f>
        <v>63000</v>
      </c>
      <c r="J4" s="6">
        <v>46235</v>
      </c>
      <c r="K4" s="4" t="s">
        <v>78</v>
      </c>
      <c r="L4" s="4" t="s">
        <v>81</v>
      </c>
      <c r="M4" s="7">
        <v>46235</v>
      </c>
    </row>
    <row r="5" spans="1:13" x14ac:dyDescent="0.35">
      <c r="A5" s="4" t="s">
        <v>7</v>
      </c>
      <c r="B5" s="4" t="s">
        <v>37</v>
      </c>
      <c r="C5" s="4" t="s">
        <v>67</v>
      </c>
      <c r="D5" s="5">
        <v>50000</v>
      </c>
      <c r="E5" s="5">
        <v>6000</v>
      </c>
      <c r="F5" s="5">
        <v>1500</v>
      </c>
      <c r="G5" s="5">
        <f>Table1[[#This Row],[Basic Salary]]+Table1[[#This Row],[Allowance]]+Table1[[#This Row],[Overtime Pay]]</f>
        <v>57500</v>
      </c>
      <c r="H5" s="5">
        <v>1000</v>
      </c>
      <c r="I5" s="5">
        <f>Table1[[#This Row],[Gross Salary]]-Table1[[#This Row],[Deduction]]</f>
        <v>56500</v>
      </c>
      <c r="J5" s="6">
        <v>46235</v>
      </c>
      <c r="K5" s="4" t="s">
        <v>77</v>
      </c>
      <c r="L5" s="4" t="s">
        <v>81</v>
      </c>
      <c r="M5" s="7">
        <v>46235</v>
      </c>
    </row>
    <row r="6" spans="1:13" x14ac:dyDescent="0.35">
      <c r="A6" s="4" t="s">
        <v>8</v>
      </c>
      <c r="B6" s="4" t="s">
        <v>38</v>
      </c>
      <c r="C6" s="4" t="s">
        <v>68</v>
      </c>
      <c r="D6" s="5">
        <v>60000</v>
      </c>
      <c r="E6" s="5">
        <v>8000</v>
      </c>
      <c r="F6" s="5">
        <v>4000</v>
      </c>
      <c r="G6" s="5">
        <f>Table1[[#This Row],[Basic Salary]]+Table1[[#This Row],[Allowance]]+Table1[[#This Row],[Overtime Pay]]</f>
        <v>72000</v>
      </c>
      <c r="H6" s="5">
        <v>2500</v>
      </c>
      <c r="I6" s="5">
        <f>Table1[[#This Row],[Gross Salary]]-Table1[[#This Row],[Deduction]]</f>
        <v>69500</v>
      </c>
      <c r="J6" s="6">
        <v>46235</v>
      </c>
      <c r="K6" s="4" t="s">
        <v>79</v>
      </c>
      <c r="L6" s="4" t="s">
        <v>82</v>
      </c>
      <c r="M6" s="7">
        <v>46235</v>
      </c>
    </row>
    <row r="7" spans="1:13" x14ac:dyDescent="0.35">
      <c r="A7" s="4" t="s">
        <v>9</v>
      </c>
      <c r="B7" s="4" t="s">
        <v>39</v>
      </c>
      <c r="C7" s="4" t="s">
        <v>69</v>
      </c>
      <c r="D7" s="5">
        <v>48000</v>
      </c>
      <c r="E7" s="5">
        <v>5000</v>
      </c>
      <c r="F7" s="5">
        <v>2500</v>
      </c>
      <c r="G7" s="5">
        <f>Table1[[#This Row],[Basic Salary]]+Table1[[#This Row],[Allowance]]+Table1[[#This Row],[Overtime Pay]]</f>
        <v>55500</v>
      </c>
      <c r="H7" s="5">
        <v>1200</v>
      </c>
      <c r="I7" s="5">
        <f>Table1[[#This Row],[Gross Salary]]-Table1[[#This Row],[Deduction]]</f>
        <v>54300</v>
      </c>
      <c r="J7" s="6">
        <v>46235</v>
      </c>
      <c r="K7" s="4" t="s">
        <v>78</v>
      </c>
      <c r="L7" s="4" t="s">
        <v>82</v>
      </c>
      <c r="M7" s="7">
        <v>46235</v>
      </c>
    </row>
    <row r="8" spans="1:13" x14ac:dyDescent="0.35">
      <c r="A8" s="4" t="s">
        <v>10</v>
      </c>
      <c r="B8" s="4" t="s">
        <v>40</v>
      </c>
      <c r="C8" s="4" t="s">
        <v>70</v>
      </c>
      <c r="D8" s="5">
        <v>52000</v>
      </c>
      <c r="E8" s="5">
        <v>6000</v>
      </c>
      <c r="F8" s="5">
        <v>2000</v>
      </c>
      <c r="G8" s="5">
        <f>Table1[[#This Row],[Basic Salary]]+Table1[[#This Row],[Allowance]]+Table1[[#This Row],[Overtime Pay]]</f>
        <v>60000</v>
      </c>
      <c r="H8" s="5">
        <v>1000</v>
      </c>
      <c r="I8" s="5">
        <f>Table1[[#This Row],[Gross Salary]]-Table1[[#This Row],[Deduction]]</f>
        <v>59000</v>
      </c>
      <c r="J8" s="6">
        <v>46235</v>
      </c>
      <c r="K8" s="4" t="s">
        <v>77</v>
      </c>
      <c r="L8" s="4" t="s">
        <v>82</v>
      </c>
      <c r="M8" s="7">
        <v>46235</v>
      </c>
    </row>
    <row r="9" spans="1:13" x14ac:dyDescent="0.35">
      <c r="A9" s="4" t="s">
        <v>11</v>
      </c>
      <c r="B9" s="4" t="s">
        <v>41</v>
      </c>
      <c r="C9" s="4" t="s">
        <v>65</v>
      </c>
      <c r="D9" s="5">
        <v>47000</v>
      </c>
      <c r="E9" s="5">
        <v>4500</v>
      </c>
      <c r="F9" s="5">
        <v>1000</v>
      </c>
      <c r="G9" s="5">
        <f>Table1[[#This Row],[Basic Salary]]+Table1[[#This Row],[Allowance]]+Table1[[#This Row],[Overtime Pay]]</f>
        <v>52500</v>
      </c>
      <c r="H9" s="5">
        <v>1800</v>
      </c>
      <c r="I9" s="5">
        <f>Table1[[#This Row],[Gross Salary]]-Table1[[#This Row],[Deduction]]</f>
        <v>50700</v>
      </c>
      <c r="J9" s="6">
        <v>46235</v>
      </c>
      <c r="K9" s="4" t="s">
        <v>78</v>
      </c>
      <c r="L9" s="4" t="s">
        <v>82</v>
      </c>
      <c r="M9" s="7">
        <v>46235</v>
      </c>
    </row>
    <row r="10" spans="1:13" x14ac:dyDescent="0.35">
      <c r="A10" s="4" t="s">
        <v>12</v>
      </c>
      <c r="B10" s="4" t="s">
        <v>42</v>
      </c>
      <c r="C10" s="4" t="s">
        <v>67</v>
      </c>
      <c r="D10" s="5">
        <v>51000</v>
      </c>
      <c r="E10" s="5">
        <v>5500</v>
      </c>
      <c r="F10" s="5">
        <v>1800</v>
      </c>
      <c r="G10" s="5">
        <f>Table1[[#This Row],[Basic Salary]]+Table1[[#This Row],[Allowance]]+Table1[[#This Row],[Overtime Pay]]</f>
        <v>58300</v>
      </c>
      <c r="H10" s="5">
        <v>1900</v>
      </c>
      <c r="I10" s="5">
        <f>Table1[[#This Row],[Gross Salary]]-Table1[[#This Row],[Deduction]]</f>
        <v>56400</v>
      </c>
      <c r="J10" s="6">
        <v>46235</v>
      </c>
      <c r="K10" s="4" t="s">
        <v>78</v>
      </c>
      <c r="L10" s="4" t="s">
        <v>82</v>
      </c>
      <c r="M10" s="7">
        <v>46235</v>
      </c>
    </row>
    <row r="11" spans="1:13" x14ac:dyDescent="0.35">
      <c r="A11" s="4" t="s">
        <v>13</v>
      </c>
      <c r="B11" s="4" t="s">
        <v>43</v>
      </c>
      <c r="C11" s="4" t="s">
        <v>68</v>
      </c>
      <c r="D11" s="5">
        <v>58000</v>
      </c>
      <c r="E11" s="5">
        <v>7000</v>
      </c>
      <c r="F11" s="5">
        <v>3500</v>
      </c>
      <c r="G11" s="5">
        <f>Table1[[#This Row],[Basic Salary]]+Table1[[#This Row],[Allowance]]+Table1[[#This Row],[Overtime Pay]]</f>
        <v>68500</v>
      </c>
      <c r="H11" s="5">
        <v>2200</v>
      </c>
      <c r="I11" s="5">
        <f>Table1[[#This Row],[Gross Salary]]-Table1[[#This Row],[Deduction]]</f>
        <v>66300</v>
      </c>
      <c r="J11" s="6">
        <v>46235</v>
      </c>
      <c r="K11" s="4" t="s">
        <v>79</v>
      </c>
      <c r="L11" s="4" t="s">
        <v>83</v>
      </c>
      <c r="M11" s="7">
        <v>46235</v>
      </c>
    </row>
    <row r="12" spans="1:13" x14ac:dyDescent="0.35">
      <c r="A12" s="4" t="s">
        <v>14</v>
      </c>
      <c r="B12" s="4" t="s">
        <v>44</v>
      </c>
      <c r="C12" s="4" t="s">
        <v>66</v>
      </c>
      <c r="D12" s="5">
        <v>62000</v>
      </c>
      <c r="E12" s="5">
        <v>8000</v>
      </c>
      <c r="F12" s="5">
        <v>4500</v>
      </c>
      <c r="G12" s="5">
        <f>Table1[[#This Row],[Basic Salary]]+Table1[[#This Row],[Allowance]]+Table1[[#This Row],[Overtime Pay]]</f>
        <v>74500</v>
      </c>
      <c r="H12" s="5">
        <v>2400</v>
      </c>
      <c r="I12" s="5">
        <f>Table1[[#This Row],[Gross Salary]]-Table1[[#This Row],[Deduction]]</f>
        <v>72100</v>
      </c>
      <c r="J12" s="6">
        <v>46235</v>
      </c>
      <c r="K12" s="4" t="s">
        <v>78</v>
      </c>
      <c r="L12" s="4" t="s">
        <v>81</v>
      </c>
      <c r="M12" s="7">
        <v>46237</v>
      </c>
    </row>
    <row r="13" spans="1:13" x14ac:dyDescent="0.35">
      <c r="A13" s="4" t="s">
        <v>15</v>
      </c>
      <c r="B13" s="4" t="s">
        <v>45</v>
      </c>
      <c r="C13" s="4" t="s">
        <v>70</v>
      </c>
      <c r="D13" s="5">
        <v>50000</v>
      </c>
      <c r="E13" s="5">
        <v>6000</v>
      </c>
      <c r="F13" s="5">
        <v>2200</v>
      </c>
      <c r="G13" s="5">
        <f>Table1[[#This Row],[Basic Salary]]+Table1[[#This Row],[Allowance]]+Table1[[#This Row],[Overtime Pay]]</f>
        <v>58200</v>
      </c>
      <c r="H13" s="5">
        <v>1700</v>
      </c>
      <c r="I13" s="5">
        <f>Table1[[#This Row],[Gross Salary]]-Table1[[#This Row],[Deduction]]</f>
        <v>56500</v>
      </c>
      <c r="J13" s="6">
        <v>46235</v>
      </c>
      <c r="K13" s="4" t="s">
        <v>78</v>
      </c>
      <c r="L13" s="4" t="s">
        <v>83</v>
      </c>
      <c r="M13" s="7">
        <v>46237</v>
      </c>
    </row>
    <row r="14" spans="1:13" x14ac:dyDescent="0.35">
      <c r="A14" s="4" t="s">
        <v>16</v>
      </c>
      <c r="B14" s="4" t="s">
        <v>46</v>
      </c>
      <c r="C14" s="4" t="s">
        <v>69</v>
      </c>
      <c r="D14" s="5">
        <v>46000</v>
      </c>
      <c r="E14" s="5">
        <v>5000</v>
      </c>
      <c r="F14" s="5">
        <v>1200</v>
      </c>
      <c r="G14" s="5">
        <f>Table1[[#This Row],[Basic Salary]]+Table1[[#This Row],[Allowance]]+Table1[[#This Row],[Overtime Pay]]</f>
        <v>52200</v>
      </c>
      <c r="H14" s="5">
        <v>1000</v>
      </c>
      <c r="I14" s="5">
        <f>Table1[[#This Row],[Gross Salary]]-Table1[[#This Row],[Deduction]]</f>
        <v>51200</v>
      </c>
      <c r="J14" s="6">
        <v>46235</v>
      </c>
      <c r="K14" s="4" t="s">
        <v>79</v>
      </c>
      <c r="L14" s="4" t="s">
        <v>82</v>
      </c>
      <c r="M14" s="7">
        <v>46237</v>
      </c>
    </row>
    <row r="15" spans="1:13" x14ac:dyDescent="0.35">
      <c r="A15" s="4" t="s">
        <v>17</v>
      </c>
      <c r="B15" s="4" t="s">
        <v>47</v>
      </c>
      <c r="C15" s="4" t="s">
        <v>68</v>
      </c>
      <c r="D15" s="5">
        <v>65000</v>
      </c>
      <c r="E15" s="5">
        <v>9000</v>
      </c>
      <c r="F15" s="5">
        <v>5000</v>
      </c>
      <c r="G15" s="5">
        <f>Table1[[#This Row],[Basic Salary]]+Table1[[#This Row],[Allowance]]+Table1[[#This Row],[Overtime Pay]]</f>
        <v>79000</v>
      </c>
      <c r="H15" s="5">
        <v>2000</v>
      </c>
      <c r="I15" s="5">
        <f>Table1[[#This Row],[Gross Salary]]-Table1[[#This Row],[Deduction]]</f>
        <v>77000</v>
      </c>
      <c r="J15" s="6">
        <v>46235</v>
      </c>
      <c r="K15" s="4" t="s">
        <v>79</v>
      </c>
      <c r="L15" s="4" t="s">
        <v>83</v>
      </c>
      <c r="M15" s="7">
        <v>46237</v>
      </c>
    </row>
    <row r="16" spans="1:13" x14ac:dyDescent="0.35">
      <c r="A16" s="4" t="s">
        <v>18</v>
      </c>
      <c r="B16" s="4" t="s">
        <v>48</v>
      </c>
      <c r="C16" s="4" t="s">
        <v>67</v>
      </c>
      <c r="D16" s="5">
        <v>49000</v>
      </c>
      <c r="E16" s="5">
        <v>5500</v>
      </c>
      <c r="F16" s="5">
        <v>1600</v>
      </c>
      <c r="G16" s="5">
        <f>Table1[[#This Row],[Basic Salary]]+Table1[[#This Row],[Allowance]]+Table1[[#This Row],[Overtime Pay]]</f>
        <v>56100</v>
      </c>
      <c r="H16" s="5">
        <v>1600</v>
      </c>
      <c r="I16" s="5">
        <f>Table1[[#This Row],[Gross Salary]]-Table1[[#This Row],[Deduction]]</f>
        <v>54500</v>
      </c>
      <c r="J16" s="6">
        <v>46235</v>
      </c>
      <c r="K16" s="4" t="s">
        <v>77</v>
      </c>
      <c r="L16" s="4" t="s">
        <v>82</v>
      </c>
      <c r="M16" s="7">
        <v>46237</v>
      </c>
    </row>
    <row r="17" spans="1:13" x14ac:dyDescent="0.35">
      <c r="A17" s="4" t="s">
        <v>19</v>
      </c>
      <c r="B17" s="4" t="s">
        <v>49</v>
      </c>
      <c r="C17" s="4" t="s">
        <v>66</v>
      </c>
      <c r="D17" s="5">
        <v>57000</v>
      </c>
      <c r="E17" s="5">
        <v>7000</v>
      </c>
      <c r="F17" s="5">
        <v>2800</v>
      </c>
      <c r="G17" s="5">
        <f>Table1[[#This Row],[Basic Salary]]+Table1[[#This Row],[Allowance]]+Table1[[#This Row],[Overtime Pay]]</f>
        <v>66800</v>
      </c>
      <c r="H17" s="5">
        <v>1300</v>
      </c>
      <c r="I17" s="5">
        <f>Table1[[#This Row],[Gross Salary]]-Table1[[#This Row],[Deduction]]</f>
        <v>65500</v>
      </c>
      <c r="J17" s="6">
        <v>46235</v>
      </c>
      <c r="K17" s="4" t="s">
        <v>78</v>
      </c>
      <c r="L17" s="4" t="s">
        <v>83</v>
      </c>
      <c r="M17" s="7">
        <v>46237</v>
      </c>
    </row>
    <row r="18" spans="1:13" x14ac:dyDescent="0.35">
      <c r="A18" s="4" t="s">
        <v>20</v>
      </c>
      <c r="B18" s="4" t="s">
        <v>50</v>
      </c>
      <c r="C18" s="4" t="s">
        <v>65</v>
      </c>
      <c r="D18" s="5">
        <v>44000</v>
      </c>
      <c r="E18" s="5">
        <v>4500</v>
      </c>
      <c r="F18" s="5">
        <v>1000</v>
      </c>
      <c r="G18" s="5">
        <f>Table1[[#This Row],[Basic Salary]]+Table1[[#This Row],[Allowance]]+Table1[[#This Row],[Overtime Pay]]</f>
        <v>49500</v>
      </c>
      <c r="H18" s="5">
        <v>1400</v>
      </c>
      <c r="I18" s="5">
        <f>Table1[[#This Row],[Gross Salary]]-Table1[[#This Row],[Deduction]]</f>
        <v>48100</v>
      </c>
      <c r="J18" s="6">
        <v>46235</v>
      </c>
      <c r="K18" s="4" t="s">
        <v>78</v>
      </c>
      <c r="L18" s="4" t="s">
        <v>82</v>
      </c>
      <c r="M18" s="7">
        <v>46237</v>
      </c>
    </row>
    <row r="19" spans="1:13" x14ac:dyDescent="0.35">
      <c r="A19" s="4" t="s">
        <v>21</v>
      </c>
      <c r="B19" s="4" t="s">
        <v>51</v>
      </c>
      <c r="C19" s="4" t="s">
        <v>70</v>
      </c>
      <c r="D19" s="5">
        <v>53000</v>
      </c>
      <c r="E19" s="5">
        <v>6000</v>
      </c>
      <c r="F19" s="5">
        <v>2500</v>
      </c>
      <c r="G19" s="5">
        <f>Table1[[#This Row],[Basic Salary]]+Table1[[#This Row],[Allowance]]+Table1[[#This Row],[Overtime Pay]]</f>
        <v>61500</v>
      </c>
      <c r="H19" s="5">
        <v>800</v>
      </c>
      <c r="I19" s="5">
        <f>Table1[[#This Row],[Gross Salary]]-Table1[[#This Row],[Deduction]]</f>
        <v>60700</v>
      </c>
      <c r="J19" s="6">
        <v>46235</v>
      </c>
      <c r="K19" s="4" t="s">
        <v>78</v>
      </c>
      <c r="L19" s="4" t="s">
        <v>82</v>
      </c>
      <c r="M19" s="7">
        <v>46237</v>
      </c>
    </row>
    <row r="20" spans="1:13" x14ac:dyDescent="0.35">
      <c r="A20" s="4" t="s">
        <v>22</v>
      </c>
      <c r="B20" s="4" t="s">
        <v>52</v>
      </c>
      <c r="C20" s="4" t="s">
        <v>69</v>
      </c>
      <c r="D20" s="5">
        <v>50000</v>
      </c>
      <c r="E20" s="5">
        <v>5500</v>
      </c>
      <c r="F20" s="5">
        <v>1800</v>
      </c>
      <c r="G20" s="5">
        <f>Table1[[#This Row],[Basic Salary]]+Table1[[#This Row],[Allowance]]+Table1[[#This Row],[Overtime Pay]]</f>
        <v>57300</v>
      </c>
      <c r="H20" s="5">
        <v>1100</v>
      </c>
      <c r="I20" s="5">
        <f>Table1[[#This Row],[Gross Salary]]-Table1[[#This Row],[Deduction]]</f>
        <v>56200</v>
      </c>
      <c r="J20" s="6">
        <v>46235</v>
      </c>
      <c r="K20" s="4" t="s">
        <v>78</v>
      </c>
      <c r="L20" s="4" t="s">
        <v>81</v>
      </c>
      <c r="M20" s="7">
        <v>46237</v>
      </c>
    </row>
    <row r="21" spans="1:13" x14ac:dyDescent="0.35">
      <c r="A21" s="4" t="s">
        <v>23</v>
      </c>
      <c r="B21" s="4" t="s">
        <v>53</v>
      </c>
      <c r="C21" s="4" t="s">
        <v>68</v>
      </c>
      <c r="D21" s="5">
        <v>61000</v>
      </c>
      <c r="E21" s="5">
        <v>7500</v>
      </c>
      <c r="F21" s="5">
        <v>3200</v>
      </c>
      <c r="G21" s="5">
        <f>Table1[[#This Row],[Basic Salary]]+Table1[[#This Row],[Allowance]]+Table1[[#This Row],[Overtime Pay]]</f>
        <v>71700</v>
      </c>
      <c r="H21" s="5">
        <v>1400</v>
      </c>
      <c r="I21" s="5">
        <f>Table1[[#This Row],[Gross Salary]]-Table1[[#This Row],[Deduction]]</f>
        <v>70300</v>
      </c>
      <c r="J21" s="6">
        <v>46235</v>
      </c>
      <c r="K21" s="4" t="s">
        <v>79</v>
      </c>
      <c r="L21" s="4" t="s">
        <v>82</v>
      </c>
      <c r="M21" s="7">
        <v>46237</v>
      </c>
    </row>
    <row r="22" spans="1:13" x14ac:dyDescent="0.35">
      <c r="A22" s="4" t="s">
        <v>24</v>
      </c>
      <c r="B22" s="4" t="s">
        <v>54</v>
      </c>
      <c r="C22" s="4" t="s">
        <v>67</v>
      </c>
      <c r="D22" s="5">
        <v>52000</v>
      </c>
      <c r="E22" s="5">
        <v>6000</v>
      </c>
      <c r="F22" s="5">
        <v>2000</v>
      </c>
      <c r="G22" s="5">
        <f>Table1[[#This Row],[Basic Salary]]+Table1[[#This Row],[Allowance]]+Table1[[#This Row],[Overtime Pay]]</f>
        <v>60000</v>
      </c>
      <c r="H22" s="5">
        <v>2200</v>
      </c>
      <c r="I22" s="5">
        <f>Table1[[#This Row],[Gross Salary]]-Table1[[#This Row],[Deduction]]</f>
        <v>57800</v>
      </c>
      <c r="J22" s="6">
        <v>46235</v>
      </c>
      <c r="K22" s="4" t="s">
        <v>77</v>
      </c>
      <c r="L22" s="4" t="s">
        <v>82</v>
      </c>
      <c r="M22" s="7">
        <v>46237</v>
      </c>
    </row>
    <row r="23" spans="1:13" x14ac:dyDescent="0.35">
      <c r="A23" s="4" t="s">
        <v>25</v>
      </c>
      <c r="B23" s="4" t="s">
        <v>55</v>
      </c>
      <c r="C23" s="4" t="s">
        <v>66</v>
      </c>
      <c r="D23" s="5">
        <v>59000</v>
      </c>
      <c r="E23" s="5">
        <v>7000</v>
      </c>
      <c r="F23" s="5">
        <v>3500</v>
      </c>
      <c r="G23" s="5">
        <f>Table1[[#This Row],[Basic Salary]]+Table1[[#This Row],[Allowance]]+Table1[[#This Row],[Overtime Pay]]</f>
        <v>69500</v>
      </c>
      <c r="H23" s="5">
        <v>2100</v>
      </c>
      <c r="I23" s="5">
        <f>Table1[[#This Row],[Gross Salary]]-Table1[[#This Row],[Deduction]]</f>
        <v>67400</v>
      </c>
      <c r="J23" s="6">
        <v>46235</v>
      </c>
      <c r="K23" s="4" t="s">
        <v>77</v>
      </c>
      <c r="L23" s="4" t="s">
        <v>82</v>
      </c>
      <c r="M23" s="7">
        <v>46239</v>
      </c>
    </row>
    <row r="24" spans="1:13" x14ac:dyDescent="0.35">
      <c r="A24" s="4" t="s">
        <v>26</v>
      </c>
      <c r="B24" s="4" t="s">
        <v>56</v>
      </c>
      <c r="C24" s="4" t="s">
        <v>65</v>
      </c>
      <c r="D24" s="5">
        <v>46000</v>
      </c>
      <c r="E24" s="5">
        <v>5000</v>
      </c>
      <c r="F24" s="5">
        <v>1300</v>
      </c>
      <c r="G24" s="5">
        <f>Table1[[#This Row],[Basic Salary]]+Table1[[#This Row],[Allowance]]+Table1[[#This Row],[Overtime Pay]]</f>
        <v>52300</v>
      </c>
      <c r="H24" s="5">
        <v>1700</v>
      </c>
      <c r="I24" s="5">
        <f>Table1[[#This Row],[Gross Salary]]-Table1[[#This Row],[Deduction]]</f>
        <v>50600</v>
      </c>
      <c r="J24" s="6">
        <v>46235</v>
      </c>
      <c r="K24" s="4" t="s">
        <v>79</v>
      </c>
      <c r="L24" s="4" t="s">
        <v>81</v>
      </c>
      <c r="M24" s="7">
        <v>46239</v>
      </c>
    </row>
    <row r="25" spans="1:13" x14ac:dyDescent="0.35">
      <c r="A25" s="4" t="s">
        <v>27</v>
      </c>
      <c r="B25" s="4" t="s">
        <v>57</v>
      </c>
      <c r="C25" s="4" t="s">
        <v>70</v>
      </c>
      <c r="D25" s="5">
        <v>54000</v>
      </c>
      <c r="E25" s="5">
        <v>6500</v>
      </c>
      <c r="F25" s="5">
        <v>2700</v>
      </c>
      <c r="G25" s="5">
        <f>Table1[[#This Row],[Basic Salary]]+Table1[[#This Row],[Allowance]]+Table1[[#This Row],[Overtime Pay]]</f>
        <v>63200</v>
      </c>
      <c r="H25" s="5">
        <v>1900</v>
      </c>
      <c r="I25" s="5">
        <f>Table1[[#This Row],[Gross Salary]]-Table1[[#This Row],[Deduction]]</f>
        <v>61300</v>
      </c>
      <c r="J25" s="6">
        <v>46235</v>
      </c>
      <c r="K25" s="4" t="s">
        <v>78</v>
      </c>
      <c r="L25" s="4" t="s">
        <v>82</v>
      </c>
      <c r="M25" s="7">
        <v>46239</v>
      </c>
    </row>
    <row r="26" spans="1:13" x14ac:dyDescent="0.35">
      <c r="A26" s="4" t="s">
        <v>28</v>
      </c>
      <c r="B26" s="4" t="s">
        <v>58</v>
      </c>
      <c r="C26" s="4" t="s">
        <v>69</v>
      </c>
      <c r="D26" s="5">
        <v>48000</v>
      </c>
      <c r="E26" s="5">
        <v>5000</v>
      </c>
      <c r="F26" s="5">
        <v>1500</v>
      </c>
      <c r="G26" s="5">
        <f>Table1[[#This Row],[Basic Salary]]+Table1[[#This Row],[Allowance]]+Table1[[#This Row],[Overtime Pay]]</f>
        <v>54500</v>
      </c>
      <c r="H26" s="5">
        <v>1300</v>
      </c>
      <c r="I26" s="5">
        <f>Table1[[#This Row],[Gross Salary]]-Table1[[#This Row],[Deduction]]</f>
        <v>53200</v>
      </c>
      <c r="J26" s="6">
        <v>46235</v>
      </c>
      <c r="K26" s="4" t="s">
        <v>78</v>
      </c>
      <c r="L26" s="4" t="s">
        <v>82</v>
      </c>
      <c r="M26" s="7">
        <v>46239</v>
      </c>
    </row>
    <row r="27" spans="1:13" x14ac:dyDescent="0.35">
      <c r="A27" s="4" t="s">
        <v>29</v>
      </c>
      <c r="B27" s="4" t="s">
        <v>59</v>
      </c>
      <c r="C27" s="4" t="s">
        <v>68</v>
      </c>
      <c r="D27" s="5">
        <v>63000</v>
      </c>
      <c r="E27" s="5">
        <v>8000</v>
      </c>
      <c r="F27" s="5">
        <v>4200</v>
      </c>
      <c r="G27" s="5">
        <f>Table1[[#This Row],[Basic Salary]]+Table1[[#This Row],[Allowance]]+Table1[[#This Row],[Overtime Pay]]</f>
        <v>75200</v>
      </c>
      <c r="H27" s="5">
        <v>1200</v>
      </c>
      <c r="I27" s="5">
        <f>Table1[[#This Row],[Gross Salary]]-Table1[[#This Row],[Deduction]]</f>
        <v>74000</v>
      </c>
      <c r="J27" s="6">
        <v>46235</v>
      </c>
      <c r="K27" s="4" t="s">
        <v>78</v>
      </c>
      <c r="L27" s="4" t="s">
        <v>81</v>
      </c>
      <c r="M27" s="7">
        <v>46239</v>
      </c>
    </row>
    <row r="28" spans="1:13" x14ac:dyDescent="0.35">
      <c r="A28" s="4" t="s">
        <v>30</v>
      </c>
      <c r="B28" s="4" t="s">
        <v>60</v>
      </c>
      <c r="C28" s="4" t="s">
        <v>67</v>
      </c>
      <c r="D28" s="5">
        <v>51000</v>
      </c>
      <c r="E28" s="5">
        <v>5500</v>
      </c>
      <c r="F28" s="5">
        <v>1700</v>
      </c>
      <c r="G28" s="5">
        <f>Table1[[#This Row],[Basic Salary]]+Table1[[#This Row],[Allowance]]+Table1[[#This Row],[Overtime Pay]]</f>
        <v>58200</v>
      </c>
      <c r="H28" s="5">
        <v>1000</v>
      </c>
      <c r="I28" s="5">
        <f>Table1[[#This Row],[Gross Salary]]-Table1[[#This Row],[Deduction]]</f>
        <v>57200</v>
      </c>
      <c r="J28" s="6">
        <v>46235</v>
      </c>
      <c r="K28" s="4" t="s">
        <v>78</v>
      </c>
      <c r="L28" s="4" t="s">
        <v>82</v>
      </c>
      <c r="M28" s="7">
        <v>46239</v>
      </c>
    </row>
    <row r="29" spans="1:13" x14ac:dyDescent="0.35">
      <c r="A29" s="4" t="s">
        <v>31</v>
      </c>
      <c r="B29" s="4" t="s">
        <v>61</v>
      </c>
      <c r="C29" s="4" t="s">
        <v>66</v>
      </c>
      <c r="D29" s="5">
        <v>56000</v>
      </c>
      <c r="E29" s="5">
        <v>6500</v>
      </c>
      <c r="F29" s="5">
        <v>2600</v>
      </c>
      <c r="G29" s="5">
        <f>Table1[[#This Row],[Basic Salary]]+Table1[[#This Row],[Allowance]]+Table1[[#This Row],[Overtime Pay]]</f>
        <v>65100</v>
      </c>
      <c r="H29" s="5">
        <v>2300</v>
      </c>
      <c r="I29" s="5">
        <f>Table1[[#This Row],[Gross Salary]]-Table1[[#This Row],[Deduction]]</f>
        <v>62800</v>
      </c>
      <c r="J29" s="6">
        <v>46235</v>
      </c>
      <c r="K29" s="4" t="s">
        <v>79</v>
      </c>
      <c r="L29" s="4" t="s">
        <v>82</v>
      </c>
      <c r="M29" s="7">
        <v>46239</v>
      </c>
    </row>
    <row r="30" spans="1:13" x14ac:dyDescent="0.35">
      <c r="A30" s="4" t="s">
        <v>32</v>
      </c>
      <c r="B30" s="4" t="s">
        <v>62</v>
      </c>
      <c r="C30" s="4" t="s">
        <v>65</v>
      </c>
      <c r="D30" s="5">
        <v>45000</v>
      </c>
      <c r="E30" s="5">
        <v>4500</v>
      </c>
      <c r="F30" s="5">
        <v>1100</v>
      </c>
      <c r="G30" s="5">
        <f>Table1[[#This Row],[Basic Salary]]+Table1[[#This Row],[Allowance]]+Table1[[#This Row],[Overtime Pay]]</f>
        <v>50600</v>
      </c>
      <c r="H30" s="5">
        <v>1900</v>
      </c>
      <c r="I30" s="5">
        <f>Table1[[#This Row],[Gross Salary]]-Table1[[#This Row],[Deduction]]</f>
        <v>48700</v>
      </c>
      <c r="J30" s="6">
        <v>46235</v>
      </c>
      <c r="K30" s="4" t="s">
        <v>78</v>
      </c>
      <c r="L30" s="4" t="s">
        <v>81</v>
      </c>
      <c r="M30" s="7">
        <v>46239</v>
      </c>
    </row>
    <row r="31" spans="1:13" x14ac:dyDescent="0.35">
      <c r="A31" s="4" t="s">
        <v>33</v>
      </c>
      <c r="B31" s="4" t="s">
        <v>63</v>
      </c>
      <c r="C31" s="4" t="s">
        <v>70</v>
      </c>
      <c r="D31" s="5">
        <v>52000</v>
      </c>
      <c r="E31" s="5">
        <v>6000</v>
      </c>
      <c r="F31" s="5">
        <v>2300</v>
      </c>
      <c r="G31" s="5">
        <f>Table1[[#This Row],[Basic Salary]]+Table1[[#This Row],[Allowance]]+Table1[[#This Row],[Overtime Pay]]</f>
        <v>60300</v>
      </c>
      <c r="H31" s="5">
        <v>2000</v>
      </c>
      <c r="I31" s="5">
        <f>Table1[[#This Row],[Gross Salary]]-Table1[[#This Row],[Deduction]]</f>
        <v>58300</v>
      </c>
      <c r="J31" s="6">
        <v>46235</v>
      </c>
      <c r="K31" s="4" t="s">
        <v>78</v>
      </c>
      <c r="L31" s="4" t="s">
        <v>82</v>
      </c>
      <c r="M31" s="7">
        <v>46239</v>
      </c>
    </row>
    <row r="32" spans="1:13" x14ac:dyDescent="0.35">
      <c r="A32" s="4" t="s">
        <v>34</v>
      </c>
      <c r="B32" s="4" t="s">
        <v>64</v>
      </c>
      <c r="C32" s="4" t="s">
        <v>69</v>
      </c>
      <c r="D32" s="5">
        <v>49000</v>
      </c>
      <c r="E32" s="5">
        <v>5500</v>
      </c>
      <c r="F32" s="5">
        <v>1600</v>
      </c>
      <c r="G32" s="5">
        <f>Table1[[#This Row],[Basic Salary]]+Table1[[#This Row],[Allowance]]+Table1[[#This Row],[Overtime Pay]]</f>
        <v>56100</v>
      </c>
      <c r="H32" s="5">
        <v>1100</v>
      </c>
      <c r="I32" s="5">
        <f>Table1[[#This Row],[Gross Salary]]-Table1[[#This Row],[Deduction]]</f>
        <v>55000</v>
      </c>
      <c r="J32" s="6">
        <v>46235</v>
      </c>
      <c r="K32" s="4" t="s">
        <v>77</v>
      </c>
      <c r="L32" s="4" t="s">
        <v>81</v>
      </c>
      <c r="M32" s="7">
        <v>46239</v>
      </c>
    </row>
  </sheetData>
  <mergeCells count="1">
    <mergeCell ref="A1:M1"/>
  </mergeCells>
  <phoneticPr fontId="3" type="noConversion"/>
  <dataValidations count="2">
    <dataValidation type="list" allowBlank="1" showInputMessage="1" showErrorMessage="1" sqref="K3:K32" xr:uid="{7F0A27F3-FDB7-45BA-A98F-85F48A7F8683}">
      <formula1>"Paid,Pending,On Hold"</formula1>
    </dataValidation>
    <dataValidation type="list" allowBlank="1" showInputMessage="1" showErrorMessage="1" sqref="L3:L32" xr:uid="{B9166B12-F241-46D5-A961-50D5F1EFE339}">
      <formula1>"Full-Time,Part-Time,Contract"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F0A2-8269-4E86-9E01-47EECA8A8AC8}">
  <dimension ref="G5:H14"/>
  <sheetViews>
    <sheetView showGridLines="0" workbookViewId="0">
      <selection activeCell="G11" sqref="G11"/>
    </sheetView>
  </sheetViews>
  <sheetFormatPr defaultRowHeight="14.5" x14ac:dyDescent="0.35"/>
  <cols>
    <col min="1" max="1" width="17.6328125" bestFit="1" customWidth="1"/>
    <col min="2" max="2" width="10" bestFit="1" customWidth="1"/>
    <col min="7" max="7" width="16.6328125" bestFit="1" customWidth="1"/>
    <col min="8" max="8" width="10" bestFit="1" customWidth="1"/>
  </cols>
  <sheetData>
    <row r="5" spans="7:8" x14ac:dyDescent="0.35">
      <c r="G5" s="11" t="s">
        <v>86</v>
      </c>
      <c r="H5" s="11"/>
    </row>
    <row r="6" spans="7:8" x14ac:dyDescent="0.35">
      <c r="G6" s="8" t="s">
        <v>87</v>
      </c>
      <c r="H6" s="4">
        <f>COUNTA(Table1[Employee Name])</f>
        <v>30</v>
      </c>
    </row>
    <row r="7" spans="7:8" x14ac:dyDescent="0.35">
      <c r="G7" s="8" t="s">
        <v>88</v>
      </c>
      <c r="H7" s="9">
        <f>SUM(Table1[Basic Salary])</f>
        <v>1578000</v>
      </c>
    </row>
    <row r="8" spans="7:8" x14ac:dyDescent="0.35">
      <c r="G8" s="8" t="s">
        <v>89</v>
      </c>
      <c r="H8" s="9">
        <f>SUM(Table1[Allowance])</f>
        <v>183500</v>
      </c>
    </row>
    <row r="9" spans="7:8" x14ac:dyDescent="0.35">
      <c r="G9" s="8" t="s">
        <v>90</v>
      </c>
      <c r="H9" s="9">
        <f>SUM(Table1[Overtime Pay])</f>
        <v>71600</v>
      </c>
    </row>
    <row r="10" spans="7:8" x14ac:dyDescent="0.35">
      <c r="G10" s="8" t="s">
        <v>91</v>
      </c>
      <c r="H10" s="9">
        <f>SUM(Table1[Gross Salary])</f>
        <v>1833100</v>
      </c>
    </row>
    <row r="11" spans="7:8" x14ac:dyDescent="0.35">
      <c r="G11" s="8" t="s">
        <v>92</v>
      </c>
      <c r="H11" s="9">
        <f>SUM(Table1[Deduction])</f>
        <v>48500</v>
      </c>
    </row>
    <row r="12" spans="7:8" x14ac:dyDescent="0.35">
      <c r="G12" s="8" t="s">
        <v>93</v>
      </c>
      <c r="H12" s="9">
        <f>SUM(Table1[Net Salary])</f>
        <v>1784600</v>
      </c>
    </row>
    <row r="13" spans="7:8" x14ac:dyDescent="0.35">
      <c r="G13" s="8" t="s">
        <v>94</v>
      </c>
      <c r="H13" s="5">
        <f>MAX(Table1[Net Salary])</f>
        <v>77000</v>
      </c>
    </row>
    <row r="14" spans="7:8" x14ac:dyDescent="0.35">
      <c r="G14" s="8" t="s">
        <v>95</v>
      </c>
      <c r="H14" s="5">
        <f>MIN(Table1[Net Salary])</f>
        <v>48100</v>
      </c>
    </row>
  </sheetData>
  <mergeCells count="1">
    <mergeCell ref="G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C8F5-752F-46CE-B5C7-4633105FCFCD}">
  <dimension ref="A1"/>
  <sheetViews>
    <sheetView workbookViewId="0">
      <selection activeCell="G1" sqref="G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 Payroll Sheet</vt:lpstr>
      <vt:lpstr>Payroll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Shah</dc:creator>
  <cp:lastModifiedBy>Jamal Shah</cp:lastModifiedBy>
  <dcterms:created xsi:type="dcterms:W3CDTF">2026-08-20T11:19:59Z</dcterms:created>
  <dcterms:modified xsi:type="dcterms:W3CDTF">2026-10-18T12:14:00Z</dcterms:modified>
</cp:coreProperties>
</file>